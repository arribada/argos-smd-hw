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tium\Projects\stm32wl-dev\Projects\BGA_RF-ArticGR\Project Outputs for BGA_RF-ArticGR\stm32wl-dev_SMD_V0.1d_20230822\"/>
    </mc:Choice>
  </mc:AlternateContent>
  <xr:revisionPtr revIDLastSave="0" documentId="13_ncr:1_{293FFB67-32CF-47F5-8411-5817F8560399}" xr6:coauthVersionLast="47" xr6:coauthVersionMax="47" xr10:uidLastSave="{00000000-0000-0000-0000-000000000000}"/>
  <bookViews>
    <workbookView xWindow="-30828" yWindow="-108" windowWidth="30936" windowHeight="16896" xr2:uid="{C090D1B8-412E-4B9C-91C7-2746C4510A28}"/>
  </bookViews>
  <sheets>
    <sheet name="Bill of Materials-BGA_RF-ArticG" sheetId="1" r:id="rId1"/>
  </sheets>
  <definedNames>
    <definedName name="_xlnm.Print_Titles" localSheetId="0">'Bill of Materials-BGA_RF-ArticG'!$1:$1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L46" i="1" s="1"/>
</calcChain>
</file>

<file path=xl/sharedStrings.xml><?xml version="1.0" encoding="utf-8"?>
<sst xmlns="http://schemas.openxmlformats.org/spreadsheetml/2006/main" count="395" uniqueCount="227">
  <si>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</si>
  <si>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</si>
  <si>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</si>
  <si>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</si>
  <si>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</si>
  <si>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</si>
  <si>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</si>
  <si>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</si>
  <si>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</si>
  <si>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</si>
  <si>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</si>
  <si>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</si>
  <si>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</si>
  <si>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1000u@100MHz</t>
  </si>
  <si>
    <t>Ferrite Bead - BLM15_Z1D Series EMI Suppression Filter 1000+/-25% at 100MHz 250mA @85</t>
  </si>
  <si>
    <t>B1</t>
  </si>
  <si>
    <t>Murata</t>
  </si>
  <si>
    <t>BLM15HG102SZ1D</t>
  </si>
  <si>
    <t>Volume Production</t>
  </si>
  <si>
    <t>Digi-Key</t>
  </si>
  <si>
    <t>490-17663-1-ND</t>
  </si>
  <si>
    <t>2.2uF</t>
  </si>
  <si>
    <t>Multilayer Ceramic Capacitors MLCC - SMD/SMT 2.2 uF 10 VDC 10% 0603 X7R</t>
  </si>
  <si>
    <t>C1</t>
  </si>
  <si>
    <t>GRM188R71A225KE15D</t>
  </si>
  <si>
    <t>Mouser</t>
  </si>
  <si>
    <t>81-GRM188R71A225KE15</t>
  </si>
  <si>
    <t>100nF</t>
  </si>
  <si>
    <t>Multilayer Ceramic Capacitors MLCC - SMD/SMT .1UF     16V   10%        0201</t>
  </si>
  <si>
    <t>C2, C3, C6, C8, C19, C31, C33, C36, C37, C38, C39, C41, C43, C46, C49</t>
  </si>
  <si>
    <t>GRM033Z71C104KE14D</t>
  </si>
  <si>
    <t>81-GRM033Z71C104KE4D</t>
  </si>
  <si>
    <t>1uF</t>
  </si>
  <si>
    <t>Multilayer Ceramic Capacitors MLCC - SMD/SMT 1.0UF 10V 10% 0402</t>
  </si>
  <si>
    <t>C4, C32</t>
  </si>
  <si>
    <t>GRM155Z71A105KE01J</t>
  </si>
  <si>
    <t>81-GRM155Z71A105KE1J</t>
  </si>
  <si>
    <t>100pF</t>
  </si>
  <si>
    <t>Multilayer Ceramic Capacitors MLCC - SMD/SMT 100PF 25V 5% 0201</t>
  </si>
  <si>
    <t>C5, C7, C9, C20</t>
  </si>
  <si>
    <t>GRM0335C1E101JA01D</t>
  </si>
  <si>
    <t>81-GRM0335C1E101JA1D</t>
  </si>
  <si>
    <t>Not Recommended for New Design</t>
  </si>
  <si>
    <t>490-GRM1555C2A4R3BA01JTR-ND</t>
  </si>
  <si>
    <t>GRM1555C1E3R9BA01D</t>
  </si>
  <si>
    <t>Multilayer Ceramic Capacitors MLCC - SMD/SMT 3.9 pF 25 VDC 0.1 pF 0402 C0G (NP0)</t>
  </si>
  <si>
    <t>C11</t>
  </si>
  <si>
    <t>81-GRM1555C1E3R9BA1D</t>
  </si>
  <si>
    <t>20pF</t>
  </si>
  <si>
    <t>Multilayer Ceramic Capacitors MLCC - SMD/SMT 20 pF 50 VDC 2% 0402 C0G (NP0)</t>
  </si>
  <si>
    <t>C12, C14</t>
  </si>
  <si>
    <t>GRM1555C1H200GA01D</t>
  </si>
  <si>
    <t>81-GRM1555C1H200GA1D</t>
  </si>
  <si>
    <t>GCM1555C1H101JA16D</t>
  </si>
  <si>
    <t>Multilayer Ceramic Capacitors MLCC - SMD/SMT 100 pF 50 VDC 5% 0402 C0G (NP0) AEC-Q200</t>
  </si>
  <si>
    <t>C13, C23</t>
  </si>
  <si>
    <t>81-GCM1555C1H101JA6D</t>
  </si>
  <si>
    <t>GCM1555C1H8R2CA16J</t>
  </si>
  <si>
    <t>Multilayer Ceramic Capacitors MLCC - SMD/SMT 8.2 pF 50 VDC 0.25 pF 0402 C0G (NP0) AEC-Q200</t>
  </si>
  <si>
    <t>C15, C25</t>
  </si>
  <si>
    <t>81-GCM1555C1H8R2CA6J</t>
  </si>
  <si>
    <t>CAP-NC-0402</t>
  </si>
  <si>
    <t>CMS 0402 Non Connected</t>
  </si>
  <si>
    <t>C16, C22</t>
  </si>
  <si>
    <t>GRM1555C1E6R8BA01D</t>
  </si>
  <si>
    <t>Multilayer Ceramic Capacitors MLCC - SMD/SMT 6.8 pF 25 VDC 0.1 pF 0402 C0G (NP0)</t>
  </si>
  <si>
    <t>C17</t>
  </si>
  <si>
    <t>81-GRM1555C1E6R8BA1D</t>
  </si>
  <si>
    <t>GRM1555C2A2R7CA01D</t>
  </si>
  <si>
    <t>Multilayer Ceramic Capacitors MLCC - SMD/SMT 2.7 pF 100 VDC 0.25 pF 0402 C0G (NP0)</t>
  </si>
  <si>
    <t>C18</t>
  </si>
  <si>
    <t>81-GRM1555C2A2R7CA1D</t>
  </si>
  <si>
    <t>GCM1555C1H120GA16D</t>
  </si>
  <si>
    <t>Multilayer Ceramic Capacitors MLCC - SMD/SMT 12 pF 50 VDC 2% 0402 C0G (NP0) AEC-Q200</t>
  </si>
  <si>
    <t>C24</t>
  </si>
  <si>
    <t>81-GCM1555C1H120GA6D</t>
  </si>
  <si>
    <t>GRM1555C1H130GA01D</t>
  </si>
  <si>
    <t>Multilayer Ceramic Capacitors MLCC - SMD/SMT 13 pF 50 VDC 2% 0402 C0G (NP0)</t>
  </si>
  <si>
    <t>C26</t>
  </si>
  <si>
    <t>81-GRM1555C1H130GA1D</t>
  </si>
  <si>
    <t>Multilayer Ceramic Capacitors MLCC - SMD/SMT 100 pF 25 VDC 1% 0201 C0G (NP0)</t>
  </si>
  <si>
    <t>C27</t>
  </si>
  <si>
    <t>GRM0335C1E101FA01J</t>
  </si>
  <si>
    <t>GRM0335C1E101FA01J-ND</t>
  </si>
  <si>
    <t>GRM033R61C104KE14D</t>
  </si>
  <si>
    <t>Multilayer Ceramic Capacitors MLCC - SMD/SMT 0201 0.1uF 16volts X5R 10%</t>
  </si>
  <si>
    <t>C28, C29</t>
  </si>
  <si>
    <t>81-GRM033R61C104KE4D</t>
  </si>
  <si>
    <t>GRM155Z71A225KE44D</t>
  </si>
  <si>
    <t>Multilayer Ceramic Capacitors MLCC - SMD/SMT 2.2 uF 10 VDC 10% 0402 X7R</t>
  </si>
  <si>
    <t>C30, C35, C42</t>
  </si>
  <si>
    <t>81-GRM155Z71A225KE4D</t>
  </si>
  <si>
    <t>0.47uF</t>
  </si>
  <si>
    <t>Multilayer Ceramic Capacitors MLCC - SMD/SMT  0.47uF 10V X5R 10% SMD 0402 85°C Paper T/R</t>
  </si>
  <si>
    <t>C34</t>
  </si>
  <si>
    <t>Taiyo Yuden</t>
  </si>
  <si>
    <t>LMK105ABJ474KV8F</t>
  </si>
  <si>
    <t>963-LMK105ABJ474KV8F</t>
  </si>
  <si>
    <t>Multilayer Ceramic Capacitors MLCC - SMD/SMT 1uF+/-10% 10V X5R 06 0201</t>
  </si>
  <si>
    <t>C40, C45</t>
  </si>
  <si>
    <t>Samsung</t>
  </si>
  <si>
    <t>CL03A105KP3NSNC</t>
  </si>
  <si>
    <t>1276-6795-1-ND</t>
  </si>
  <si>
    <t>10pF</t>
  </si>
  <si>
    <t>Multilayer Ceramic Capacitors MLCC - SMD/SMT 10 pF 50 VDC 1% 0402 C0G (NP0)</t>
  </si>
  <si>
    <t>C44</t>
  </si>
  <si>
    <t>GJM1555C1H100FB01D</t>
  </si>
  <si>
    <t>81-GJM1555C1H100FB01</t>
  </si>
  <si>
    <t>5.1pF</t>
  </si>
  <si>
    <t>Multilayer Ceramic Capacitors MLCC - SMD/SMT 0402 MLCC NPO 5.1 pF, +/- 0.1pF 50 V T&amp;R GP</t>
  </si>
  <si>
    <t>C47, C48</t>
  </si>
  <si>
    <t>Walsin Technologies</t>
  </si>
  <si>
    <t>0402N5R1B500CT</t>
  </si>
  <si>
    <t>791-0402N5R1B500CT</t>
  </si>
  <si>
    <t>80R</t>
  </si>
  <si>
    <t>Ferrite Bead 80ohm 1.7A 85mOhm 0402</t>
  </si>
  <si>
    <t>FB1</t>
  </si>
  <si>
    <t>600R@100MHz</t>
  </si>
  <si>
    <t>Ferrite Bead 600ohm 500mA 340mOhm 0402</t>
  </si>
  <si>
    <t>FB2</t>
  </si>
  <si>
    <t>BLM15BX601SZ1D</t>
  </si>
  <si>
    <t>81-BLM15BX601SZ1D</t>
  </si>
  <si>
    <t>9POS_CAST</t>
  </si>
  <si>
    <t>9 POS Castellated connector with VIA 0.6</t>
  </si>
  <si>
    <t>J1, J2, J3, J4</t>
  </si>
  <si>
    <t>10nH</t>
  </si>
  <si>
    <t>Inductor RF Chip Multi-Layer 10nH 5% 100MHz 8Q-Factor Air 300mA 260mOhm DCR 0402 Paper T/R</t>
  </si>
  <si>
    <t>L1, L6, L9</t>
  </si>
  <si>
    <t>LQG15HS10NJ02D</t>
  </si>
  <si>
    <t>Arrow Electronics</t>
  </si>
  <si>
    <t>24nH</t>
  </si>
  <si>
    <t>Inductor RF Chip Unshielded Wirewound  24nH 2% 100MHz 40Q-Factor Ferrite 1.3A 0603 Paper T/R</t>
  </si>
  <si>
    <t>L2</t>
  </si>
  <si>
    <t>LQW18AN24NG80D</t>
  </si>
  <si>
    <t>81-LQW18AN24NG80D</t>
  </si>
  <si>
    <t>LQW18AN5N6C80D</t>
  </si>
  <si>
    <t>Inductor Wirewound , 5.6 nH, 40 Milliohm, ± 0.2nH, 6.65 GHz, 1.9 A, 0603 [1608 Metric]</t>
  </si>
  <si>
    <t>L3</t>
  </si>
  <si>
    <t>81-LQW18AN5N6C80D</t>
  </si>
  <si>
    <t>Inductor Wirewound , 10 nH, 52 Milliohm, ± 2%, 4.75 GHz, 1.6 A, 0603 [1608 Metric]</t>
  </si>
  <si>
    <t>L4, L5</t>
  </si>
  <si>
    <t>LQW18AN10NG80D</t>
  </si>
  <si>
    <t>490-17899-1-ND</t>
  </si>
  <si>
    <t>LQG15HN68NJ02D</t>
  </si>
  <si>
    <t>Inductor RF Chip Multi-Layer 68nH 5% 100MHz 8Q-Factor Air 180mA 1.25Ohm DCR 0402 Paper T/R</t>
  </si>
  <si>
    <t>L7</t>
  </si>
  <si>
    <t>490-1095-1-ND</t>
  </si>
  <si>
    <t>LQG15WZ11NJ02D</t>
  </si>
  <si>
    <t>Inductor RF Chip Multi-Layer 11nH 5% 0402 Paper T/R</t>
  </si>
  <si>
    <t>L8</t>
  </si>
  <si>
    <t>490-15246-1-ND</t>
  </si>
  <si>
    <t>LQG15WH20NJ02D</t>
  </si>
  <si>
    <t>Inductor RF Chip, Aec-Q200, 20Nh, 0402, 2.1Ghz Rohs Compliant: Yes</t>
  </si>
  <si>
    <t>L10</t>
  </si>
  <si>
    <t>81-LQG15WH20NJ02D</t>
  </si>
  <si>
    <t>MLZ1608M150WT000</t>
  </si>
  <si>
    <t>Inductor RF Shielded 15µH, ±5%</t>
  </si>
  <si>
    <t>L11</t>
  </si>
  <si>
    <t>TDK</t>
  </si>
  <si>
    <t>810-MLZ1608M150WT000</t>
  </si>
  <si>
    <t>2.4K</t>
  </si>
  <si>
    <t>Thick Film Resistors - SMD 2.4 kOhms 62.5 mW 0402 1%</t>
  </si>
  <si>
    <t>R1</t>
  </si>
  <si>
    <t>Yageo</t>
  </si>
  <si>
    <t>RC0402FR-132K4L</t>
  </si>
  <si>
    <t>603-RC0402FR-132K4L</t>
  </si>
  <si>
    <t>5.42K</t>
  </si>
  <si>
    <t>Thin Film Resistors - SMD 5.42kOhm,0402,1%,50p pm,63mW,50V</t>
  </si>
  <si>
    <t>R2</t>
  </si>
  <si>
    <t>KOA Speer</t>
  </si>
  <si>
    <t>RN73H1ETTP5421F50</t>
  </si>
  <si>
    <t>660-RN73H1ETP5421F50</t>
  </si>
  <si>
    <t>0R</t>
  </si>
  <si>
    <t>Resistors Thick Film  - SMD 0402 0.063 W 0 Ohm Jumper</t>
  </si>
  <si>
    <t>R3, R4</t>
  </si>
  <si>
    <t>Vishay</t>
  </si>
  <si>
    <t>CRCW04020000Z0ED</t>
  </si>
  <si>
    <t>541-0.0JCT-ND</t>
  </si>
  <si>
    <t>100K</t>
  </si>
  <si>
    <t>Resistors Thick Film  - SMD 1/20watt 100Kohms 1% 200ppm</t>
  </si>
  <si>
    <t>R6, R7</t>
  </si>
  <si>
    <t>CRCW0201100KFNED</t>
  </si>
  <si>
    <t>541-100KABCT-ND</t>
  </si>
  <si>
    <t>220R</t>
  </si>
  <si>
    <t>Resistors Thick Film - SMD HP02 (0402) 1/10W 1% 220R T/R-10000</t>
  </si>
  <si>
    <t>R8</t>
  </si>
  <si>
    <t>Royal Electronic Factory</t>
  </si>
  <si>
    <t>HP02WAF2200TCE</t>
  </si>
  <si>
    <t>303-HP02WAF2200TCE</t>
  </si>
  <si>
    <t>10K</t>
  </si>
  <si>
    <t>Resistor Thick Film Anti-Sulfurated Chip 0201 10kOhm 1% Paper T/R</t>
  </si>
  <si>
    <t>R9</t>
  </si>
  <si>
    <t>AF0201FR-0710KL</t>
  </si>
  <si>
    <t>603-AF0201FR-0710KL</t>
  </si>
  <si>
    <t>GRF5504</t>
  </si>
  <si>
    <t>RF Amplifier High Efficiency, 3.5Watt PA/Saturated PA, OP1dB &gt;34.0 dBm; 0.4 - 0.5 GHz</t>
  </si>
  <si>
    <t>U1</t>
  </si>
  <si>
    <t>Guerrilla RF</t>
  </si>
  <si>
    <t>459-GRF5504</t>
  </si>
  <si>
    <t>STM32WL55JCI7_details</t>
  </si>
  <si>
    <t>Multiprotocol Wireless 32-bit MCUwith LPWAN Sub-GHz radio solution(BGA)</t>
  </si>
  <si>
    <t>U2</t>
  </si>
  <si>
    <t>STMicroelectronics</t>
  </si>
  <si>
    <t>STM32WL55JCI7</t>
  </si>
  <si>
    <t>511-STM32WL55JCI7</t>
  </si>
  <si>
    <t>ESD_6V</t>
  </si>
  <si>
    <t>ESD protection 6V1 - Varistors MLV 0603 18V 3pF</t>
  </si>
  <si>
    <t>U3</t>
  </si>
  <si>
    <t>TG2520SMN_32.0000M-MCGNNM0</t>
  </si>
  <si>
    <t>TCXO Oscillators TG2520SMN 32.0000M-MCGNNM0: TCXO 2.8V 3.3V 0.5PPM -40 85C NON O/E 1K TR</t>
  </si>
  <si>
    <t>X1</t>
  </si>
  <si>
    <t>Epson</t>
  </si>
  <si>
    <t>TG2520SMN32.0000M-MCGNNM0</t>
  </si>
  <si>
    <t>732-2520SMN32MCGNNM0</t>
  </si>
  <si>
    <t>NX2012SA-32.768K-STD-MUB-1</t>
  </si>
  <si>
    <t>Crystals 32.768KHZ 12.5PF SMD</t>
  </si>
  <si>
    <t>Y1</t>
  </si>
  <si>
    <t>NDK</t>
  </si>
  <si>
    <t>344-NX2012SA32768K1</t>
  </si>
  <si>
    <t>Note: It needs to be seen as having castellated holes for SMD surface mounting. This is not a real component.</t>
  </si>
  <si>
    <t>Not connected components.</t>
  </si>
  <si>
    <t xml:space="preserve">BLM18KG331SN1B </t>
  </si>
  <si>
    <t>BLM15PE800SH1D</t>
  </si>
  <si>
    <t>ESDALC6V1-1U2</t>
  </si>
  <si>
    <t>GRM1555C1H4R3BA01D</t>
  </si>
  <si>
    <t>C10, C21</t>
  </si>
  <si>
    <t xml:space="preserve">Multilayer Ceramic Capacitors MLCC - SMD/SMT 4.3 pF 50 VDC 0.1 pF 0402 C0G (NP0)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</si>
</sst>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8" fontId="0" fillId="0" borderId="1" xfId="0" applyNumberFormat="1" applyBorder="1"/>
    <xf numFmtId="0" fontId="1" fillId="0" borderId="1" xfId="0" quotePrefix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673A-73C9-4501-9C85-F748C857C052}">
  <dimension ref="A1:L46"/>
  <sheetViews>
    <sheetView tabSelected="1" topLeftCell="A22" workbookViewId="0">
      <selection activeCell="G24" sqref="G24"/>
    </sheetView>
  </sheetViews>
  <sheetFormatPr baseColWidth="10" defaultRowHeight="14.5" x14ac:dyDescent="0.35"/>
  <cols>
    <col min="1" max="1" width="9" customWidth="1"/>
    <col min="2" max="2" width="28.81640625" customWidth="1"/>
    <col min="3" max="3" width="77.1796875" customWidth="1"/>
    <col min="4" max="4" width="12.81640625" customWidth="1"/>
    <col min="5" max="5" width="11" customWidth="1"/>
    <col min="6" max="6" width="21.1796875" customWidth="1"/>
    <col min="7" max="7" width="26.81640625" customWidth="1"/>
    <col min="8" max="8" width="35.453125" customWidth="1"/>
    <col min="9" max="9" width="19.1796875" customWidth="1"/>
    <col min="10" max="10" width="22.6328125" customWidth="1"/>
    <col min="11" max="11" width="20.1796875" customWidth="1"/>
    <col min="12" max="12" width="19.08984375" customWidth="1"/>
  </cols>
  <sheetData>
    <row r="1" spans="1:12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 t="s">
        <v>12</v>
      </c>
      <c r="B2" s="2" t="s">
        <v>13</v>
      </c>
      <c r="C2" s="2" t="s">
        <v>14</v>
      </c>
      <c r="D2" s="2" t="s">
        <v>15</v>
      </c>
      <c r="E2" s="1">
        <v>1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1">
        <v>0.14000000000000001</v>
      </c>
      <c r="L2" s="1">
        <v>0.14000000000000001</v>
      </c>
    </row>
    <row r="3" spans="1:12" x14ac:dyDescent="0.35">
      <c r="A3" s="2" t="s">
        <v>12</v>
      </c>
      <c r="B3" s="2" t="s">
        <v>21</v>
      </c>
      <c r="C3" s="2" t="s">
        <v>22</v>
      </c>
      <c r="D3" s="2" t="s">
        <v>23</v>
      </c>
      <c r="E3" s="1">
        <v>1</v>
      </c>
      <c r="F3" s="2" t="s">
        <v>16</v>
      </c>
      <c r="G3" s="2" t="s">
        <v>24</v>
      </c>
      <c r="H3" s="2" t="s">
        <v>12</v>
      </c>
      <c r="I3" s="2" t="s">
        <v>25</v>
      </c>
      <c r="J3" s="2" t="s">
        <v>26</v>
      </c>
      <c r="K3" s="1">
        <v>0.16</v>
      </c>
      <c r="L3" s="1">
        <v>0.16</v>
      </c>
    </row>
    <row r="4" spans="1:12" x14ac:dyDescent="0.35">
      <c r="A4" s="2" t="s">
        <v>12</v>
      </c>
      <c r="B4" s="2" t="s">
        <v>27</v>
      </c>
      <c r="C4" s="2" t="s">
        <v>28</v>
      </c>
      <c r="D4" s="2" t="s">
        <v>29</v>
      </c>
      <c r="E4" s="1">
        <v>15</v>
      </c>
      <c r="F4" s="2" t="s">
        <v>16</v>
      </c>
      <c r="G4" s="2" t="s">
        <v>30</v>
      </c>
      <c r="H4" s="2" t="s">
        <v>18</v>
      </c>
      <c r="I4" s="2" t="s">
        <v>25</v>
      </c>
      <c r="J4" s="2" t="s">
        <v>31</v>
      </c>
      <c r="K4" s="1">
        <v>1.7000000000000001E-2</v>
      </c>
      <c r="L4" s="1">
        <v>0.255</v>
      </c>
    </row>
    <row r="5" spans="1:12" x14ac:dyDescent="0.35">
      <c r="A5" s="2" t="s">
        <v>12</v>
      </c>
      <c r="B5" s="2" t="s">
        <v>32</v>
      </c>
      <c r="C5" s="2" t="s">
        <v>33</v>
      </c>
      <c r="D5" s="2" t="s">
        <v>34</v>
      </c>
      <c r="E5" s="1">
        <v>2</v>
      </c>
      <c r="F5" s="2" t="s">
        <v>16</v>
      </c>
      <c r="G5" s="2" t="s">
        <v>35</v>
      </c>
      <c r="H5" s="2" t="s">
        <v>18</v>
      </c>
      <c r="I5" s="2" t="s">
        <v>25</v>
      </c>
      <c r="J5" s="2" t="s">
        <v>36</v>
      </c>
      <c r="K5" s="1">
        <v>0.1</v>
      </c>
      <c r="L5" s="1">
        <v>0.2</v>
      </c>
    </row>
    <row r="6" spans="1:12" x14ac:dyDescent="0.35">
      <c r="A6" s="2" t="s">
        <v>12</v>
      </c>
      <c r="B6" s="2" t="s">
        <v>37</v>
      </c>
      <c r="C6" s="2" t="s">
        <v>38</v>
      </c>
      <c r="D6" s="2" t="s">
        <v>39</v>
      </c>
      <c r="E6" s="1">
        <v>4</v>
      </c>
      <c r="F6" s="2" t="s">
        <v>16</v>
      </c>
      <c r="G6" s="2" t="s">
        <v>40</v>
      </c>
      <c r="H6" s="2" t="s">
        <v>18</v>
      </c>
      <c r="I6" s="2" t="s">
        <v>25</v>
      </c>
      <c r="J6" s="2" t="s">
        <v>41</v>
      </c>
      <c r="K6" s="1">
        <v>6.0000000000000001E-3</v>
      </c>
      <c r="L6" s="1">
        <v>0.06</v>
      </c>
    </row>
    <row r="7" spans="1:12" x14ac:dyDescent="0.35">
      <c r="A7" s="2" t="s">
        <v>12</v>
      </c>
      <c r="B7" s="2" t="s">
        <v>224</v>
      </c>
      <c r="C7" s="5" t="s">
        <v>226</v>
      </c>
      <c r="D7" s="2" t="s">
        <v>225</v>
      </c>
      <c r="E7" s="1">
        <v>1</v>
      </c>
      <c r="F7" s="2" t="s">
        <v>16</v>
      </c>
      <c r="G7" s="7" t="s">
        <v>224</v>
      </c>
      <c r="H7" s="2" t="s">
        <v>42</v>
      </c>
      <c r="I7" s="2" t="s">
        <v>19</v>
      </c>
      <c r="J7" s="2" t="s">
        <v>43</v>
      </c>
      <c r="K7" s="6">
        <v>9.4E-2</v>
      </c>
      <c r="L7" s="6">
        <v>9.4E-2</v>
      </c>
    </row>
    <row r="8" spans="1:12" x14ac:dyDescent="0.35">
      <c r="A8" s="2" t="s">
        <v>12</v>
      </c>
      <c r="B8" s="2" t="s">
        <v>44</v>
      </c>
      <c r="C8" s="5" t="s">
        <v>45</v>
      </c>
      <c r="D8" s="2" t="s">
        <v>46</v>
      </c>
      <c r="E8" s="1">
        <v>1</v>
      </c>
      <c r="F8" s="2" t="s">
        <v>16</v>
      </c>
      <c r="G8" s="2" t="s">
        <v>44</v>
      </c>
      <c r="H8" s="2" t="s">
        <v>42</v>
      </c>
      <c r="I8" s="2" t="s">
        <v>25</v>
      </c>
      <c r="J8" s="2" t="s">
        <v>47</v>
      </c>
      <c r="K8" s="1">
        <v>0.1</v>
      </c>
      <c r="L8" s="1">
        <v>0.1</v>
      </c>
    </row>
    <row r="9" spans="1:12" x14ac:dyDescent="0.35">
      <c r="A9" s="2" t="s">
        <v>12</v>
      </c>
      <c r="B9" s="2" t="s">
        <v>48</v>
      </c>
      <c r="C9" s="5" t="s">
        <v>49</v>
      </c>
      <c r="D9" s="2" t="s">
        <v>50</v>
      </c>
      <c r="E9" s="1">
        <v>2</v>
      </c>
      <c r="F9" s="2" t="s">
        <v>16</v>
      </c>
      <c r="G9" s="2" t="s">
        <v>51</v>
      </c>
      <c r="H9" s="2" t="s">
        <v>42</v>
      </c>
      <c r="I9" s="2" t="s">
        <v>25</v>
      </c>
      <c r="J9" s="2" t="s">
        <v>52</v>
      </c>
      <c r="K9" s="1">
        <v>0.12</v>
      </c>
      <c r="L9" s="1">
        <v>0.24</v>
      </c>
    </row>
    <row r="10" spans="1:12" x14ac:dyDescent="0.35">
      <c r="A10" s="2" t="s">
        <v>12</v>
      </c>
      <c r="B10" s="2" t="s">
        <v>53</v>
      </c>
      <c r="C10" s="5" t="s">
        <v>54</v>
      </c>
      <c r="D10" s="2" t="s">
        <v>55</v>
      </c>
      <c r="E10" s="1">
        <v>2</v>
      </c>
      <c r="F10" s="2" t="s">
        <v>16</v>
      </c>
      <c r="G10" s="2" t="s">
        <v>53</v>
      </c>
      <c r="H10" s="2" t="s">
        <v>18</v>
      </c>
      <c r="I10" s="2" t="s">
        <v>25</v>
      </c>
      <c r="J10" s="2" t="s">
        <v>56</v>
      </c>
      <c r="K10" s="1">
        <v>0.1</v>
      </c>
      <c r="L10" s="1">
        <v>0.2</v>
      </c>
    </row>
    <row r="11" spans="1:12" x14ac:dyDescent="0.35">
      <c r="A11" s="2" t="s">
        <v>12</v>
      </c>
      <c r="B11" s="2" t="s">
        <v>57</v>
      </c>
      <c r="C11" s="5" t="s">
        <v>58</v>
      </c>
      <c r="D11" s="2" t="s">
        <v>59</v>
      </c>
      <c r="E11" s="1">
        <v>2</v>
      </c>
      <c r="F11" s="2" t="s">
        <v>16</v>
      </c>
      <c r="G11" s="2" t="s">
        <v>57</v>
      </c>
      <c r="H11" s="2" t="s">
        <v>18</v>
      </c>
      <c r="I11" s="2" t="s">
        <v>25</v>
      </c>
      <c r="J11" s="2" t="s">
        <v>60</v>
      </c>
      <c r="K11" s="1">
        <v>0.1</v>
      </c>
      <c r="L11" s="1">
        <v>0.2</v>
      </c>
    </row>
    <row r="12" spans="1:12" x14ac:dyDescent="0.35">
      <c r="A12" s="2" t="s">
        <v>12</v>
      </c>
      <c r="B12" s="2" t="s">
        <v>61</v>
      </c>
      <c r="C12" s="2" t="s">
        <v>62</v>
      </c>
      <c r="D12" s="2" t="s">
        <v>63</v>
      </c>
      <c r="E12" s="1">
        <v>2</v>
      </c>
      <c r="F12" s="8" t="s">
        <v>220</v>
      </c>
      <c r="G12" s="9"/>
      <c r="H12" s="9"/>
      <c r="I12" s="9"/>
      <c r="J12" s="9"/>
      <c r="K12" s="9"/>
      <c r="L12" s="10"/>
    </row>
    <row r="13" spans="1:12" x14ac:dyDescent="0.35">
      <c r="A13" s="2" t="s">
        <v>12</v>
      </c>
      <c r="B13" s="2" t="s">
        <v>64</v>
      </c>
      <c r="C13" s="5" t="s">
        <v>65</v>
      </c>
      <c r="D13" s="2" t="s">
        <v>66</v>
      </c>
      <c r="E13" s="1">
        <v>1</v>
      </c>
      <c r="F13" s="2" t="s">
        <v>16</v>
      </c>
      <c r="G13" s="2" t="s">
        <v>64</v>
      </c>
      <c r="H13" s="2" t="s">
        <v>42</v>
      </c>
      <c r="I13" s="2" t="s">
        <v>25</v>
      </c>
      <c r="J13" s="2" t="s">
        <v>67</v>
      </c>
      <c r="K13" s="1">
        <v>0.1</v>
      </c>
      <c r="L13" s="1">
        <v>0.1</v>
      </c>
    </row>
    <row r="14" spans="1:12" x14ac:dyDescent="0.35">
      <c r="A14" s="2" t="s">
        <v>12</v>
      </c>
      <c r="B14" s="2" t="s">
        <v>68</v>
      </c>
      <c r="C14" s="5" t="s">
        <v>69</v>
      </c>
      <c r="D14" s="2" t="s">
        <v>70</v>
      </c>
      <c r="E14" s="1">
        <v>1</v>
      </c>
      <c r="F14" s="2" t="s">
        <v>16</v>
      </c>
      <c r="G14" s="2" t="s">
        <v>68</v>
      </c>
      <c r="H14" s="2" t="s">
        <v>42</v>
      </c>
      <c r="I14" s="2" t="s">
        <v>25</v>
      </c>
      <c r="J14" s="2" t="s">
        <v>71</v>
      </c>
      <c r="K14" s="1">
        <v>0.1</v>
      </c>
      <c r="L14" s="1">
        <v>0.1</v>
      </c>
    </row>
    <row r="15" spans="1:12" x14ac:dyDescent="0.35">
      <c r="A15" s="2" t="s">
        <v>12</v>
      </c>
      <c r="B15" s="2" t="s">
        <v>72</v>
      </c>
      <c r="C15" s="5" t="s">
        <v>73</v>
      </c>
      <c r="D15" s="2" t="s">
        <v>74</v>
      </c>
      <c r="E15" s="1">
        <v>1</v>
      </c>
      <c r="F15" s="2" t="s">
        <v>16</v>
      </c>
      <c r="G15" s="2" t="s">
        <v>72</v>
      </c>
      <c r="H15" s="2" t="s">
        <v>18</v>
      </c>
      <c r="I15" s="2" t="s">
        <v>25</v>
      </c>
      <c r="J15" s="2" t="s">
        <v>75</v>
      </c>
      <c r="K15" s="1">
        <v>0.1</v>
      </c>
      <c r="L15" s="1">
        <v>0.1</v>
      </c>
    </row>
    <row r="16" spans="1:12" x14ac:dyDescent="0.35">
      <c r="A16" s="2" t="s">
        <v>12</v>
      </c>
      <c r="B16" s="2" t="s">
        <v>76</v>
      </c>
      <c r="C16" s="5" t="s">
        <v>77</v>
      </c>
      <c r="D16" s="2" t="s">
        <v>78</v>
      </c>
      <c r="E16" s="1">
        <v>1</v>
      </c>
      <c r="F16" s="2" t="s">
        <v>16</v>
      </c>
      <c r="G16" s="2" t="s">
        <v>76</v>
      </c>
      <c r="H16" s="2" t="s">
        <v>42</v>
      </c>
      <c r="I16" s="2" t="s">
        <v>25</v>
      </c>
      <c r="J16" s="2" t="s">
        <v>79</v>
      </c>
      <c r="K16" s="1">
        <v>0.13</v>
      </c>
      <c r="L16" s="1">
        <v>0.13</v>
      </c>
    </row>
    <row r="17" spans="1:12" x14ac:dyDescent="0.35">
      <c r="A17" s="2" t="s">
        <v>12</v>
      </c>
      <c r="B17" s="2" t="s">
        <v>37</v>
      </c>
      <c r="C17" s="5" t="s">
        <v>80</v>
      </c>
      <c r="D17" s="2" t="s">
        <v>81</v>
      </c>
      <c r="E17" s="1">
        <v>1</v>
      </c>
      <c r="F17" s="2" t="s">
        <v>16</v>
      </c>
      <c r="G17" s="2" t="s">
        <v>82</v>
      </c>
      <c r="H17" s="2" t="s">
        <v>18</v>
      </c>
      <c r="I17" s="2" t="s">
        <v>19</v>
      </c>
      <c r="J17" s="2" t="s">
        <v>83</v>
      </c>
      <c r="K17" s="1"/>
      <c r="L17" s="1"/>
    </row>
    <row r="18" spans="1:12" x14ac:dyDescent="0.35">
      <c r="A18" s="2" t="s">
        <v>12</v>
      </c>
      <c r="B18" s="2" t="s">
        <v>84</v>
      </c>
      <c r="C18" s="2" t="s">
        <v>85</v>
      </c>
      <c r="D18" s="2" t="s">
        <v>86</v>
      </c>
      <c r="E18" s="1">
        <v>2</v>
      </c>
      <c r="F18" s="2" t="s">
        <v>16</v>
      </c>
      <c r="G18" s="2" t="s">
        <v>84</v>
      </c>
      <c r="H18" s="2" t="s">
        <v>18</v>
      </c>
      <c r="I18" s="2" t="s">
        <v>25</v>
      </c>
      <c r="J18" s="2" t="s">
        <v>87</v>
      </c>
      <c r="K18" s="1">
        <v>1.9E-2</v>
      </c>
      <c r="L18" s="1">
        <v>0.19</v>
      </c>
    </row>
    <row r="19" spans="1:12" x14ac:dyDescent="0.35">
      <c r="A19" s="2" t="s">
        <v>12</v>
      </c>
      <c r="B19" s="2" t="s">
        <v>88</v>
      </c>
      <c r="C19" s="2" t="s">
        <v>89</v>
      </c>
      <c r="D19" s="2" t="s">
        <v>90</v>
      </c>
      <c r="E19" s="1">
        <v>3</v>
      </c>
      <c r="F19" s="2" t="s">
        <v>16</v>
      </c>
      <c r="G19" s="2" t="s">
        <v>88</v>
      </c>
      <c r="H19" s="2" t="s">
        <v>18</v>
      </c>
      <c r="I19" s="2" t="s">
        <v>25</v>
      </c>
      <c r="J19" s="2" t="s">
        <v>91</v>
      </c>
      <c r="K19" s="1">
        <v>0.19</v>
      </c>
      <c r="L19" s="1">
        <v>0.56999999999999995</v>
      </c>
    </row>
    <row r="20" spans="1:12" x14ac:dyDescent="0.35">
      <c r="A20" s="2" t="s">
        <v>12</v>
      </c>
      <c r="B20" s="2" t="s">
        <v>92</v>
      </c>
      <c r="C20" s="2" t="s">
        <v>93</v>
      </c>
      <c r="D20" s="2" t="s">
        <v>94</v>
      </c>
      <c r="E20" s="1">
        <v>1</v>
      </c>
      <c r="F20" s="2" t="s">
        <v>95</v>
      </c>
      <c r="G20" s="2" t="s">
        <v>96</v>
      </c>
      <c r="H20" s="1"/>
      <c r="I20" s="2" t="s">
        <v>25</v>
      </c>
      <c r="J20" s="2" t="s">
        <v>97</v>
      </c>
      <c r="K20" s="6">
        <v>0.09</v>
      </c>
      <c r="L20" s="6">
        <v>0.09</v>
      </c>
    </row>
    <row r="21" spans="1:12" x14ac:dyDescent="0.35">
      <c r="A21" s="2" t="s">
        <v>12</v>
      </c>
      <c r="B21" s="2" t="s">
        <v>32</v>
      </c>
      <c r="C21" s="2" t="s">
        <v>98</v>
      </c>
      <c r="D21" s="2" t="s">
        <v>99</v>
      </c>
      <c r="E21" s="1">
        <v>2</v>
      </c>
      <c r="F21" s="2" t="s">
        <v>100</v>
      </c>
      <c r="G21" s="2" t="s">
        <v>101</v>
      </c>
      <c r="H21" s="2" t="s">
        <v>18</v>
      </c>
      <c r="I21" s="2" t="s">
        <v>19</v>
      </c>
      <c r="J21" s="2" t="s">
        <v>102</v>
      </c>
      <c r="K21" s="1">
        <v>0.28000000000000003</v>
      </c>
      <c r="L21" s="1">
        <v>0.56000000000000005</v>
      </c>
    </row>
    <row r="22" spans="1:12" x14ac:dyDescent="0.35">
      <c r="A22" s="2" t="s">
        <v>12</v>
      </c>
      <c r="B22" s="2" t="s">
        <v>103</v>
      </c>
      <c r="C22" s="5" t="s">
        <v>104</v>
      </c>
      <c r="D22" s="2" t="s">
        <v>105</v>
      </c>
      <c r="E22" s="1">
        <v>1</v>
      </c>
      <c r="F22" s="2" t="s">
        <v>16</v>
      </c>
      <c r="G22" s="2" t="s">
        <v>106</v>
      </c>
      <c r="H22" s="2" t="s">
        <v>18</v>
      </c>
      <c r="I22" s="2" t="s">
        <v>25</v>
      </c>
      <c r="J22" s="2" t="s">
        <v>107</v>
      </c>
      <c r="K22" s="1">
        <v>0.14000000000000001</v>
      </c>
      <c r="L22" s="1">
        <v>0.14000000000000001</v>
      </c>
    </row>
    <row r="23" spans="1:12" x14ac:dyDescent="0.35">
      <c r="A23" s="2" t="s">
        <v>12</v>
      </c>
      <c r="B23" s="2" t="s">
        <v>108</v>
      </c>
      <c r="C23" s="5" t="s">
        <v>109</v>
      </c>
      <c r="D23" s="2" t="s">
        <v>110</v>
      </c>
      <c r="E23" s="1">
        <v>2</v>
      </c>
      <c r="F23" s="2" t="s">
        <v>111</v>
      </c>
      <c r="G23" s="2" t="s">
        <v>112</v>
      </c>
      <c r="H23" s="2" t="s">
        <v>12</v>
      </c>
      <c r="I23" s="2" t="s">
        <v>25</v>
      </c>
      <c r="J23" s="2" t="s">
        <v>113</v>
      </c>
      <c r="K23" s="1">
        <v>0.1</v>
      </c>
      <c r="L23" s="1">
        <v>0.2</v>
      </c>
    </row>
    <row r="24" spans="1:12" x14ac:dyDescent="0.35">
      <c r="A24" s="2" t="s">
        <v>12</v>
      </c>
      <c r="B24" s="2" t="s">
        <v>114</v>
      </c>
      <c r="C24" s="2" t="s">
        <v>115</v>
      </c>
      <c r="D24" s="2" t="s">
        <v>116</v>
      </c>
      <c r="E24" s="1">
        <v>1</v>
      </c>
      <c r="F24" s="2" t="s">
        <v>16</v>
      </c>
      <c r="G24" s="7" t="s">
        <v>222</v>
      </c>
      <c r="H24" s="2" t="s">
        <v>18</v>
      </c>
      <c r="I24" s="1" t="s">
        <v>25</v>
      </c>
      <c r="J24" s="1" t="s">
        <v>221</v>
      </c>
      <c r="K24" s="1">
        <v>0.1</v>
      </c>
      <c r="L24" s="1">
        <v>0.1</v>
      </c>
    </row>
    <row r="25" spans="1:12" x14ac:dyDescent="0.35">
      <c r="A25" s="2" t="s">
        <v>12</v>
      </c>
      <c r="B25" s="2" t="s">
        <v>117</v>
      </c>
      <c r="C25" s="2" t="s">
        <v>118</v>
      </c>
      <c r="D25" s="2" t="s">
        <v>119</v>
      </c>
      <c r="E25" s="1">
        <v>1</v>
      </c>
      <c r="F25" s="2" t="s">
        <v>16</v>
      </c>
      <c r="G25" s="2" t="s">
        <v>120</v>
      </c>
      <c r="H25" s="2" t="s">
        <v>18</v>
      </c>
      <c r="I25" s="2" t="s">
        <v>25</v>
      </c>
      <c r="J25" s="2" t="s">
        <v>121</v>
      </c>
      <c r="K25" s="1">
        <v>0.1</v>
      </c>
      <c r="L25" s="1">
        <v>0.1</v>
      </c>
    </row>
    <row r="26" spans="1:12" x14ac:dyDescent="0.35">
      <c r="A26" s="2" t="s">
        <v>12</v>
      </c>
      <c r="B26" s="2" t="s">
        <v>122</v>
      </c>
      <c r="C26" s="2" t="s">
        <v>123</v>
      </c>
      <c r="D26" s="2" t="s">
        <v>124</v>
      </c>
      <c r="E26" s="1">
        <v>4</v>
      </c>
      <c r="F26" s="8" t="s">
        <v>219</v>
      </c>
      <c r="G26" s="9"/>
      <c r="H26" s="9"/>
      <c r="I26" s="9"/>
      <c r="J26" s="9"/>
      <c r="K26" s="9"/>
      <c r="L26" s="10"/>
    </row>
    <row r="27" spans="1:12" x14ac:dyDescent="0.35">
      <c r="A27" s="2" t="s">
        <v>12</v>
      </c>
      <c r="B27" s="2" t="s">
        <v>125</v>
      </c>
      <c r="C27" s="5" t="s">
        <v>126</v>
      </c>
      <c r="D27" s="2" t="s">
        <v>127</v>
      </c>
      <c r="E27" s="1">
        <v>3</v>
      </c>
      <c r="F27" s="2" t="s">
        <v>16</v>
      </c>
      <c r="G27" s="2" t="s">
        <v>128</v>
      </c>
      <c r="H27" s="2" t="s">
        <v>18</v>
      </c>
      <c r="I27" s="2" t="s">
        <v>129</v>
      </c>
      <c r="J27" s="2" t="s">
        <v>128</v>
      </c>
      <c r="K27" s="1">
        <v>0.09</v>
      </c>
      <c r="L27" s="1">
        <f>0.09*3</f>
        <v>0.27</v>
      </c>
    </row>
    <row r="28" spans="1:12" x14ac:dyDescent="0.35">
      <c r="A28" s="2" t="s">
        <v>12</v>
      </c>
      <c r="B28" s="2" t="s">
        <v>130</v>
      </c>
      <c r="C28" s="5" t="s">
        <v>131</v>
      </c>
      <c r="D28" s="2" t="s">
        <v>132</v>
      </c>
      <c r="E28" s="1">
        <v>1</v>
      </c>
      <c r="F28" s="2" t="s">
        <v>16</v>
      </c>
      <c r="G28" s="2" t="s">
        <v>133</v>
      </c>
      <c r="H28" s="2" t="s">
        <v>18</v>
      </c>
      <c r="I28" s="2" t="s">
        <v>25</v>
      </c>
      <c r="J28" s="2" t="s">
        <v>134</v>
      </c>
      <c r="K28" s="1">
        <v>0.21</v>
      </c>
      <c r="L28" s="1">
        <v>0.21</v>
      </c>
    </row>
    <row r="29" spans="1:12" x14ac:dyDescent="0.35">
      <c r="A29" s="2" t="s">
        <v>12</v>
      </c>
      <c r="B29" s="2" t="s">
        <v>135</v>
      </c>
      <c r="C29" s="5" t="s">
        <v>136</v>
      </c>
      <c r="D29" s="2" t="s">
        <v>137</v>
      </c>
      <c r="E29" s="1">
        <v>1</v>
      </c>
      <c r="F29" s="2" t="s">
        <v>16</v>
      </c>
      <c r="G29" s="2" t="s">
        <v>135</v>
      </c>
      <c r="H29" s="2" t="s">
        <v>18</v>
      </c>
      <c r="I29" s="2" t="s">
        <v>25</v>
      </c>
      <c r="J29" s="2" t="s">
        <v>138</v>
      </c>
      <c r="K29" s="1">
        <v>0.22</v>
      </c>
      <c r="L29" s="1">
        <v>0.22</v>
      </c>
    </row>
    <row r="30" spans="1:12" x14ac:dyDescent="0.35">
      <c r="A30" s="2" t="s">
        <v>12</v>
      </c>
      <c r="B30" s="2" t="s">
        <v>125</v>
      </c>
      <c r="C30" s="5" t="s">
        <v>139</v>
      </c>
      <c r="D30" s="2" t="s">
        <v>140</v>
      </c>
      <c r="E30" s="1">
        <v>2</v>
      </c>
      <c r="F30" s="2" t="s">
        <v>16</v>
      </c>
      <c r="G30" s="2" t="s">
        <v>141</v>
      </c>
      <c r="H30" s="2" t="s">
        <v>18</v>
      </c>
      <c r="I30" s="2" t="s">
        <v>19</v>
      </c>
      <c r="J30" s="2" t="s">
        <v>142</v>
      </c>
      <c r="K30" s="1">
        <v>0.21</v>
      </c>
      <c r="L30" s="1">
        <v>0.42</v>
      </c>
    </row>
    <row r="31" spans="1:12" x14ac:dyDescent="0.35">
      <c r="A31" s="2" t="s">
        <v>12</v>
      </c>
      <c r="B31" s="2" t="s">
        <v>143</v>
      </c>
      <c r="C31" s="5" t="s">
        <v>144</v>
      </c>
      <c r="D31" s="2" t="s">
        <v>145</v>
      </c>
      <c r="E31" s="1">
        <v>1</v>
      </c>
      <c r="F31" s="2" t="s">
        <v>16</v>
      </c>
      <c r="G31" s="2" t="s">
        <v>143</v>
      </c>
      <c r="H31" s="2" t="s">
        <v>42</v>
      </c>
      <c r="I31" s="2" t="s">
        <v>19</v>
      </c>
      <c r="J31" s="2" t="s">
        <v>146</v>
      </c>
      <c r="K31" s="1">
        <v>0.1</v>
      </c>
      <c r="L31" s="1">
        <v>0.1</v>
      </c>
    </row>
    <row r="32" spans="1:12" x14ac:dyDescent="0.35">
      <c r="A32" s="2" t="s">
        <v>12</v>
      </c>
      <c r="B32" s="2" t="s">
        <v>147</v>
      </c>
      <c r="C32" s="5" t="s">
        <v>148</v>
      </c>
      <c r="D32" s="2" t="s">
        <v>149</v>
      </c>
      <c r="E32" s="1">
        <v>1</v>
      </c>
      <c r="F32" s="2" t="s">
        <v>16</v>
      </c>
      <c r="G32" s="2" t="s">
        <v>147</v>
      </c>
      <c r="H32" s="2" t="s">
        <v>18</v>
      </c>
      <c r="I32" s="2" t="s">
        <v>19</v>
      </c>
      <c r="J32" s="2" t="s">
        <v>150</v>
      </c>
      <c r="K32" s="1">
        <v>0.13</v>
      </c>
      <c r="L32" s="1">
        <v>0.13</v>
      </c>
    </row>
    <row r="33" spans="1:12" x14ac:dyDescent="0.35">
      <c r="A33" s="2" t="s">
        <v>12</v>
      </c>
      <c r="B33" s="2" t="s">
        <v>151</v>
      </c>
      <c r="C33" s="5" t="s">
        <v>152</v>
      </c>
      <c r="D33" s="2" t="s">
        <v>153</v>
      </c>
      <c r="E33" s="1">
        <v>1</v>
      </c>
      <c r="F33" s="2" t="s">
        <v>16</v>
      </c>
      <c r="G33" s="2" t="s">
        <v>151</v>
      </c>
      <c r="H33" s="1"/>
      <c r="I33" s="2" t="s">
        <v>25</v>
      </c>
      <c r="J33" s="2" t="s">
        <v>154</v>
      </c>
      <c r="K33" s="1">
        <v>0.13</v>
      </c>
      <c r="L33" s="1">
        <v>0.13</v>
      </c>
    </row>
    <row r="34" spans="1:12" x14ac:dyDescent="0.35">
      <c r="A34" s="2" t="s">
        <v>12</v>
      </c>
      <c r="B34" s="2" t="s">
        <v>155</v>
      </c>
      <c r="C34" s="5" t="s">
        <v>156</v>
      </c>
      <c r="D34" s="2" t="s">
        <v>157</v>
      </c>
      <c r="E34" s="1">
        <v>1</v>
      </c>
      <c r="F34" s="2" t="s">
        <v>158</v>
      </c>
      <c r="G34" s="2" t="s">
        <v>155</v>
      </c>
      <c r="H34" s="2" t="s">
        <v>18</v>
      </c>
      <c r="I34" s="2" t="s">
        <v>25</v>
      </c>
      <c r="J34" s="2" t="s">
        <v>159</v>
      </c>
      <c r="K34" s="1">
        <v>0.15</v>
      </c>
      <c r="L34" s="1">
        <v>0.15</v>
      </c>
    </row>
    <row r="35" spans="1:12" x14ac:dyDescent="0.35">
      <c r="A35" s="2" t="s">
        <v>12</v>
      </c>
      <c r="B35" s="2" t="s">
        <v>160</v>
      </c>
      <c r="C35" s="2" t="s">
        <v>161</v>
      </c>
      <c r="D35" s="2" t="s">
        <v>162</v>
      </c>
      <c r="E35" s="1">
        <v>1</v>
      </c>
      <c r="F35" s="2" t="s">
        <v>163</v>
      </c>
      <c r="G35" s="2" t="s">
        <v>164</v>
      </c>
      <c r="H35" s="2" t="s">
        <v>18</v>
      </c>
      <c r="I35" s="2" t="s">
        <v>25</v>
      </c>
      <c r="J35" s="2" t="s">
        <v>165</v>
      </c>
      <c r="K35" s="1">
        <v>0.1</v>
      </c>
      <c r="L35" s="1">
        <v>0.1</v>
      </c>
    </row>
    <row r="36" spans="1:12" x14ac:dyDescent="0.35">
      <c r="A36" s="2" t="s">
        <v>12</v>
      </c>
      <c r="B36" s="2" t="s">
        <v>166</v>
      </c>
      <c r="C36" s="2" t="s">
        <v>167</v>
      </c>
      <c r="D36" s="2" t="s">
        <v>168</v>
      </c>
      <c r="E36" s="1">
        <v>1</v>
      </c>
      <c r="F36" s="2" t="s">
        <v>169</v>
      </c>
      <c r="G36" s="2" t="s">
        <v>170</v>
      </c>
      <c r="H36" s="2" t="s">
        <v>18</v>
      </c>
      <c r="I36" s="2" t="s">
        <v>25</v>
      </c>
      <c r="J36" s="2" t="s">
        <v>171</v>
      </c>
      <c r="K36" s="1">
        <v>0.26</v>
      </c>
      <c r="L36" s="1">
        <v>0.26</v>
      </c>
    </row>
    <row r="37" spans="1:12" x14ac:dyDescent="0.35">
      <c r="A37" s="2" t="s">
        <v>12</v>
      </c>
      <c r="B37" s="2" t="s">
        <v>172</v>
      </c>
      <c r="C37" s="2" t="s">
        <v>173</v>
      </c>
      <c r="D37" s="2" t="s">
        <v>174</v>
      </c>
      <c r="E37" s="1">
        <v>2</v>
      </c>
      <c r="F37" s="2" t="s">
        <v>175</v>
      </c>
      <c r="G37" s="2" t="s">
        <v>176</v>
      </c>
      <c r="H37" s="2" t="s">
        <v>18</v>
      </c>
      <c r="I37" s="2" t="s">
        <v>19</v>
      </c>
      <c r="J37" s="2" t="s">
        <v>177</v>
      </c>
      <c r="K37" s="1">
        <v>0.1</v>
      </c>
      <c r="L37" s="1">
        <v>0.2</v>
      </c>
    </row>
    <row r="38" spans="1:12" x14ac:dyDescent="0.35">
      <c r="A38" s="2" t="s">
        <v>12</v>
      </c>
      <c r="B38" s="2" t="s">
        <v>178</v>
      </c>
      <c r="C38" s="2" t="s">
        <v>179</v>
      </c>
      <c r="D38" s="2" t="s">
        <v>180</v>
      </c>
      <c r="E38" s="1">
        <v>2</v>
      </c>
      <c r="F38" s="2" t="s">
        <v>175</v>
      </c>
      <c r="G38" s="2" t="s">
        <v>181</v>
      </c>
      <c r="H38" s="2" t="s">
        <v>18</v>
      </c>
      <c r="I38" s="2" t="s">
        <v>19</v>
      </c>
      <c r="J38" s="2" t="s">
        <v>182</v>
      </c>
      <c r="K38" s="1">
        <v>0.1</v>
      </c>
      <c r="L38" s="1">
        <v>0.2</v>
      </c>
    </row>
    <row r="39" spans="1:12" x14ac:dyDescent="0.35">
      <c r="A39" s="2" t="s">
        <v>12</v>
      </c>
      <c r="B39" s="2" t="s">
        <v>183</v>
      </c>
      <c r="C39" s="2" t="s">
        <v>184</v>
      </c>
      <c r="D39" s="2" t="s">
        <v>185</v>
      </c>
      <c r="E39" s="1">
        <v>1</v>
      </c>
      <c r="F39" s="2" t="s">
        <v>186</v>
      </c>
      <c r="G39" s="2" t="s">
        <v>187</v>
      </c>
      <c r="H39" s="2" t="s">
        <v>12</v>
      </c>
      <c r="I39" s="2" t="s">
        <v>25</v>
      </c>
      <c r="J39" s="2" t="s">
        <v>188</v>
      </c>
      <c r="K39" s="1">
        <v>1.7000000000000001E-2</v>
      </c>
      <c r="L39" s="1">
        <v>1.7000000000000001E-2</v>
      </c>
    </row>
    <row r="40" spans="1:12" x14ac:dyDescent="0.35">
      <c r="A40" s="2" t="s">
        <v>12</v>
      </c>
      <c r="B40" s="2" t="s">
        <v>189</v>
      </c>
      <c r="C40" s="2" t="s">
        <v>190</v>
      </c>
      <c r="D40" s="2" t="s">
        <v>191</v>
      </c>
      <c r="E40" s="1">
        <v>1</v>
      </c>
      <c r="F40" s="2" t="s">
        <v>163</v>
      </c>
      <c r="G40" s="2" t="s">
        <v>192</v>
      </c>
      <c r="H40" s="2" t="s">
        <v>42</v>
      </c>
      <c r="I40" s="2" t="s">
        <v>25</v>
      </c>
      <c r="J40" s="2" t="s">
        <v>193</v>
      </c>
      <c r="K40" s="1">
        <v>0.15</v>
      </c>
      <c r="L40" s="1">
        <v>0.15</v>
      </c>
    </row>
    <row r="41" spans="1:12" x14ac:dyDescent="0.35">
      <c r="A41" s="2" t="s">
        <v>12</v>
      </c>
      <c r="B41" s="2" t="s">
        <v>194</v>
      </c>
      <c r="C41" s="2" t="s">
        <v>195</v>
      </c>
      <c r="D41" s="2" t="s">
        <v>196</v>
      </c>
      <c r="E41" s="1">
        <v>1</v>
      </c>
      <c r="F41" s="2" t="s">
        <v>197</v>
      </c>
      <c r="G41" s="2" t="s">
        <v>194</v>
      </c>
      <c r="H41" s="2" t="s">
        <v>12</v>
      </c>
      <c r="I41" s="2" t="s">
        <v>25</v>
      </c>
      <c r="J41" s="2" t="s">
        <v>198</v>
      </c>
      <c r="K41" s="1">
        <v>4.41</v>
      </c>
      <c r="L41" s="1">
        <v>4.41</v>
      </c>
    </row>
    <row r="42" spans="1:12" x14ac:dyDescent="0.35">
      <c r="A42" s="2" t="s">
        <v>12</v>
      </c>
      <c r="B42" s="2" t="s">
        <v>199</v>
      </c>
      <c r="C42" s="2" t="s">
        <v>200</v>
      </c>
      <c r="D42" s="2" t="s">
        <v>201</v>
      </c>
      <c r="E42" s="1">
        <v>1</v>
      </c>
      <c r="F42" s="2" t="s">
        <v>202</v>
      </c>
      <c r="G42" s="2" t="s">
        <v>203</v>
      </c>
      <c r="H42" s="1"/>
      <c r="I42" s="2" t="s">
        <v>25</v>
      </c>
      <c r="J42" s="2" t="s">
        <v>204</v>
      </c>
      <c r="K42" s="1">
        <v>12.04</v>
      </c>
      <c r="L42" s="1">
        <v>12.04</v>
      </c>
    </row>
    <row r="43" spans="1:12" x14ac:dyDescent="0.35">
      <c r="A43" s="2" t="s">
        <v>12</v>
      </c>
      <c r="B43" s="2" t="s">
        <v>205</v>
      </c>
      <c r="C43" s="2" t="s">
        <v>206</v>
      </c>
      <c r="D43" s="2" t="s">
        <v>207</v>
      </c>
      <c r="E43" s="1">
        <v>1</v>
      </c>
      <c r="F43" s="2"/>
      <c r="G43" s="7" t="s">
        <v>223</v>
      </c>
      <c r="H43" s="2" t="s">
        <v>18</v>
      </c>
      <c r="I43" s="2" t="s">
        <v>25</v>
      </c>
      <c r="J43" s="2"/>
      <c r="K43" s="1">
        <v>0.49</v>
      </c>
      <c r="L43" s="1">
        <v>0.49</v>
      </c>
    </row>
    <row r="44" spans="1:12" x14ac:dyDescent="0.35">
      <c r="A44" s="2" t="s">
        <v>12</v>
      </c>
      <c r="B44" s="2" t="s">
        <v>208</v>
      </c>
      <c r="C44" s="2" t="s">
        <v>209</v>
      </c>
      <c r="D44" s="2" t="s">
        <v>210</v>
      </c>
      <c r="E44" s="1">
        <v>1</v>
      </c>
      <c r="F44" s="2" t="s">
        <v>211</v>
      </c>
      <c r="G44" s="2" t="s">
        <v>212</v>
      </c>
      <c r="H44" s="2" t="s">
        <v>12</v>
      </c>
      <c r="I44" s="2" t="s">
        <v>25</v>
      </c>
      <c r="J44" s="2" t="s">
        <v>213</v>
      </c>
      <c r="K44" s="1">
        <v>1.72</v>
      </c>
      <c r="L44" s="1">
        <v>1.72</v>
      </c>
    </row>
    <row r="45" spans="1:12" x14ac:dyDescent="0.35">
      <c r="A45" s="2" t="s">
        <v>12</v>
      </c>
      <c r="B45" s="2" t="s">
        <v>214</v>
      </c>
      <c r="C45" s="2" t="s">
        <v>215</v>
      </c>
      <c r="D45" s="2" t="s">
        <v>216</v>
      </c>
      <c r="E45" s="1">
        <v>1</v>
      </c>
      <c r="F45" s="2" t="s">
        <v>217</v>
      </c>
      <c r="G45" s="2" t="s">
        <v>214</v>
      </c>
      <c r="H45" s="2" t="s">
        <v>18</v>
      </c>
      <c r="I45" s="2" t="s">
        <v>25</v>
      </c>
      <c r="J45" s="2" t="s">
        <v>218</v>
      </c>
      <c r="K45" s="1">
        <v>0.77</v>
      </c>
      <c r="L45" s="1">
        <v>0.77</v>
      </c>
    </row>
    <row r="46" spans="1:12" x14ac:dyDescent="0.35">
      <c r="L46">
        <f>SUM(L2:L45)</f>
        <v>26.015999999999995</v>
      </c>
    </row>
  </sheetData>
  <mergeCells count="2">
    <mergeCell ref="F26:L26"/>
    <mergeCell ref="F12:L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Bill of Materials-BGA_RF-ArticG</vt:lpstr>
      <vt:lpstr>'Bill of Materials-BGA_RF-ArticG'!Impression_des_titres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 Geoffrey</dc:creator>
  <cp:lastModifiedBy>FOURNIER Geoffrey</cp:lastModifiedBy>
  <dcterms:created xsi:type="dcterms:W3CDTF">2023-06-14T12:09:50Z</dcterms:created>
  <dcterms:modified xsi:type="dcterms:W3CDTF">2023-08-22T09:04:11Z</dcterms:modified>
</cp:coreProperties>
</file>